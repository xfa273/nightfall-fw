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aa21b5e2ea46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aa43055716dd40a3"/>
    <x:sheet xmlns:r="http://schemas.openxmlformats.org/officeDocument/2006/relationships" name="購入集計" sheetId="2" r:id="R7f46f58ad6ee4182"/>
    <x:sheet xmlns:r="http://schemas.openxmlformats.org/officeDocument/2006/relationships" name="出典・注記" sheetId="3" r:id="R0545f668e7f948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.0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212B"/>
      <x:name val="Carlito"/>
    </x:font>
    <x:font>
      <x:b/>
      <x:sz val="9"/>
      <x:color rgb="FF17324D"/>
      <x:name val="Carlito"/>
    </x:font>
    <x:font>
      <x:b/>
      <x:sz val="12"/>
      <x:color rgb="FF178F8B"/>
      <x:name val="Carlito"/>
    </x:font>
    <x:font>
      <x:b/>
      <x:sz val="10"/>
      <x:color rgb="FFFFFFFF"/>
      <x:name val="Carlito"/>
    </x:font>
    <x:font>
      <x:sz val="9"/>
      <x:color rgb="FF17212B"/>
      <x:name val="Carlito"/>
    </x:font>
    <x:font>
      <x:b/>
      <x:sz val="9"/>
      <x:color rgb="FF8A5A00"/>
      <x:name val="Carlito"/>
    </x:font>
    <x:font>
      <x:b/>
      <x:sz val="11"/>
      <x:color rgb="FFFFFFFF"/>
      <x:name val="Carlito"/>
    </x:font>
    <x:font>
      <x:sz val="10"/>
      <x:color rgb="FF17212B"/>
      <x:name val="Carlito"/>
    </x:font>
    <x:font>
      <x:b/>
      <x:sz val="10"/>
      <x:color rgb="FF17324D"/>
      <x:name val="Carlito"/>
    </x:font>
    <x:font>
      <x:b/>
      <x:sz val="12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BF2"/>
      </x:patternFill>
    </x:fill>
    <x:fill>
      <x:patternFill patternType="solid">
        <x:fgColor rgb="FFEAF3F8"/>
      </x:patternFill>
    </x:fill>
    <x:fill>
      <x:patternFill patternType="solid">
        <x:fgColor rgb="FFE8F5EF"/>
      </x:patternFill>
    </x:fill>
    <x:fill>
      <x:patternFill patternType="solid">
        <x:fgColor rgb="FFF8FAFC"/>
      </x:patternFill>
    </x:fill>
    <x:fill>
      <x:patternFill patternType="solid">
        <x:fgColor rgb="FFEFF2F5"/>
      </x:patternFill>
    </x:fill>
    <x:fill>
      <x:patternFill patternType="solid">
        <x:fgColor rgb="FFE7F0FA"/>
      </x:patternFill>
    </x:fill>
    <x:fill>
      <x:patternFill patternType="solid">
        <x:fgColor rgb="FFFFF4D6"/>
      </x:patternFill>
    </x:fill>
    <x:fill>
      <x:patternFill patternType="solid">
        <x:fgColor rgb="FFFFF9E9"/>
      </x:patternFill>
    </x:fill>
    <x:fill>
      <x:patternFill patternType="solid">
        <x:fgColor rgb="FF178F8B"/>
      </x:patternFill>
    </x:fill>
  </x:fills>
  <x:borders count="4">
    <x:border/>
    <x:border>
      <x:left style="thin">
        <x:color rgb="FFCAD3DC"/>
      </x:left>
      <x:right style="thin">
        <x:color rgb="FFCAD3DC"/>
      </x:right>
      <x:top style="thin">
        <x:color rgb="FFCAD3DC"/>
      </x:top>
      <x:bottom style="thin">
        <x:color rgb="FFCAD3DC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CAD3DC"/>
      </x:left>
      <x:right style="thin">
        <x:color rgb="FFCAD3DC"/>
      </x:right>
      <x:top style="thin">
        <x:color rgb="FFCAD3DC"/>
      </x:top>
      <x:bottom style="double">
        <x:color rgb="FF17324D"/>
      </x:bottom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right"/>
    </x:xf>
    <x:xf numFmtId="200" fontId="4" fillId="4" borderId="1" xfId="0" applyNumberFormat="1" applyFont="1" applyFill="1" applyBorder="1" applyAlignment="1">
      <x:alignment horizontal="right"/>
    </x:xf>
    <x:xf numFmtId="0" fontId="5" fillId="2" borderId="0" xfId="0" applyNumberFormat="1" applyFont="1" applyFill="1" applyBorder="1"/>
    <x:xf numFmtId="0" fontId="5" fillId="2" borderId="2" xfId="0" applyNumberFormat="1" applyFont="1" applyFill="1" applyBorder="1"/>
    <x:xf numFmtId="0" fontId="5" fillId="2" borderId="2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horizont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3" fillId="8" borderId="1" xfId="0" applyNumberFormat="1" applyFont="1" applyFill="1" applyBorder="1" applyAlignment="1">
      <x:alignment vertical="top" wrapText="1"/>
    </x:xf>
    <x:xf numFmtId="0" fontId="6" fillId="9" borderId="1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horizontal="center" vertical="top" wrapText="1"/>
    </x:xf>
    <x:xf numFmtId="0" fontId="6" fillId="6" borderId="1" xfId="0" applyNumberFormat="1" applyFont="1" applyFill="1" applyBorder="1" applyAlignment="1">
      <x:alignment horizontal="center" vertical="top" wrapText="1"/>
    </x:xf>
    <x:xf numFmtId="0" fontId="6" fillId="10" borderId="1" xfId="0" applyNumberFormat="1" applyFont="1" applyFill="1" applyBorder="1" applyAlignment="1">
      <x:alignment horizontal="center" vertical="top" wrapText="1"/>
    </x:xf>
    <x:xf numFmtId="200" fontId="6" fillId="0" borderId="1" xfId="0" applyNumberFormat="1" applyFont="1" applyFill="1" applyBorder="1" applyAlignment="1">
      <x:alignment vertical="top" wrapText="1"/>
    </x:xf>
    <x:xf numFmtId="200" fontId="6" fillId="6" borderId="1" xfId="0" applyNumberFormat="1" applyFont="1" applyFill="1" applyBorder="1" applyAlignment="1">
      <x:alignment vertical="top" wrapText="1"/>
    </x:xf>
    <x:xf numFmtId="200" fontId="6" fillId="10" borderId="1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/>
    <x:xf numFmtId="0" fontId="8" fillId="2" borderId="2" xfId="0" applyNumberFormat="1" applyFont="1" applyFill="1" applyBorder="1"/>
    <x:xf numFmtId="0" fontId="8" fillId="2" borderId="2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5" borderId="1" xfId="0" applyNumberFormat="1" applyFont="1" applyFill="1" applyBorder="1"/>
    <x:xf numFmtId="0" fontId="10" fillId="5" borderId="1" xfId="0" applyNumberFormat="1" applyFont="1" applyFill="1" applyBorder="1"/>
    <x:xf numFmtId="0" fontId="10" fillId="5" borderId="3" xfId="0" applyNumberFormat="1" applyFont="1" applyFill="1" applyBorder="1"/>
    <x:xf numFmtId="200" fontId="9" fillId="0" borderId="1" xfId="0" applyNumberFormat="1" applyFont="1" applyFill="1" applyBorder="1"/>
    <x:xf numFmtId="200" fontId="10" fillId="5" borderId="3" xfId="0" applyNumberFormat="1" applyFont="1" applyFill="1" applyBorder="1"/>
    <x:xf numFmtId="0" fontId="9" fillId="0" borderId="1" xfId="0" applyNumberFormat="1" applyFont="1" applyFill="1" applyBorder="1" applyAlignment="1">
      <x:alignment horizontal="center"/>
    </x:xf>
    <x:xf numFmtId="0" fontId="10" fillId="5" borderId="3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1" xfId="0" applyNumberFormat="1" applyFont="1" applyFill="1" applyBorder="1"/>
    <x:xf numFmtId="0" fontId="9" fillId="9" borderId="1" xfId="0" applyNumberFormat="1" applyFont="1" applyFill="1" applyBorder="1" applyAlignment="1">
      <x:alignment wrapText="1"/>
    </x:xf>
    <x:xf numFmtId="0" fontId="9" fillId="9" borderId="1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vertical="top" wrapText="1"/>
    </x:xf>
    <x:xf numFmtId="0" fontId="9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6617a3e8404dae" /><Relationship Type="http://schemas.openxmlformats.org/officeDocument/2006/relationships/theme" Target="/xl/theme/theme1.xml" Id="R26d134229155460d" /><Relationship Type="http://schemas.openxmlformats.org/officeDocument/2006/relationships/sharedStrings" Target="/xl/sharedStrings.xml" Id="Rb7642ec7224e46e5" /><Relationship Type="http://schemas.openxmlformats.org/officeDocument/2006/relationships/worksheet" Target="/xl/worksheets/sheet1.xml" Id="Raa43055716dd40a3" /><Relationship Type="http://schemas.openxmlformats.org/officeDocument/2006/relationships/worksheet" Target="/xl/worksheets/sheet2.xml" Id="R7f46f58ad6ee4182" /><Relationship Type="http://schemas.openxmlformats.org/officeDocument/2006/relationships/worksheet" Target="/xl/worksheets/sheet3.xml" Id="R0545f668e7f948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7" hidden="0" customWidth="1"/>
    <x:col min="3" max="3" width="34" hidden="0" customWidth="1"/>
    <x:col min="4" max="4" width="23" hidden="0" customWidth="1"/>
    <x:col min="5" max="5" width="42" hidden="0" customWidth="1"/>
    <x:col min="6" max="6" width="8" hidden="0" customWidth="1"/>
    <x:col min="7" max="7" width="17" hidden="0" customWidth="1"/>
    <x:col min="8" max="8" width="31" hidden="0" customWidth="1"/>
    <x:col min="9" max="9" width="20" hidden="0" customWidth="1"/>
    <x:col min="10" max="10" width="9" hidden="0" customWidth="1"/>
    <x:col min="11" max="11" width="13" hidden="0" customWidth="1"/>
    <x:col min="12" max="12" width="13" hidden="0" customWidth="1"/>
    <x:col min="13" max="13" width="46" hidden="0" customWidth="1"/>
    <x:col min="14" max="14" width="46" hidden="0" customWidth="1"/>
    <x:col min="15" max="15" width="13" hidden="0" customWidth="1"/>
  </x:cols>
  <x:sheetData>
    <x:row r="1" ht="34" customHeight="1">
      <x:c r="A1" s="3" t="str">
        <x:v>HM_Nightfall-mini-3a_v0 実装部品・購入BOM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4" customHeight="1">
      <x:c r="A2" s="6" t="str">
        <x:v>KiCad基板から抽出。価格は2026-08-23確認時の税込価格（DigiKeyは表示税抜価格×1.10）で、送料は含みません。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</x:row>
    <x:row r="3">
      <x:c r="A3" s="9" t="str">
        <x:v>購入対象 行数</x:v>
      </x:c>
      <x:c r="B3" s="11" t="n">
        <x:f>COUNTIF(A6:A42,"購入")+COUNTIF(A6:A42,"要確認")</x:f>
        <x:v>24</x:v>
      </x:c>
      <x:c r="C3" s="9" t="str">
        <x:v>実装点数</x:v>
      </x:c>
      <x:c r="D3" s="11" t="n">
        <x:f>SUM(F6:F42)</x:f>
        <x:v>102</x:v>
      </x:c>
      <x:c r="E3" s="9" t="str">
        <x:v>調達小計（税込）</x:v>
      </x:c>
      <x:c r="F3" s="12" t="n">
        <x:f>SUM(L6:L42)</x:f>
        <x:v>15383.8</x:v>
      </x:c>
      <x:c r="G3" s="9" t="str">
        <x:v>要確認 行数</x:v>
      </x:c>
      <x:c r="H3" s="11" t="n">
        <x:f>COUNTIF(A6:A42,"要確認")</x:f>
        <x:v>3</x:v>
      </x:c>
      <x:c r="I3" s="9" t="str">
        <x:v>手持ち点数</x:v>
      </x:c>
      <x:c r="J3" s="11" t="n">
        <x:f>SUMIF(A6:A42,"手持ち",F6:F42)</x:f>
        <x:v>37</x:v>
      </x:c>
      <x:c r="K3" s="9" t="str">
        <x:v>基板パターン点数</x:v>
      </x:c>
      <x:c r="L3" s="11" t="n">
        <x:f>SUMIF(A6:A42,"購入不要",F6:F42)</x:f>
        <x:v>13</x:v>
      </x:c>
    </x:row>
    <x:row r="5" ht="30" customHeight="1">
      <x:c r="A5" s="17" t="str">
        <x:v>区分</x:v>
      </x:c>
      <x:c r="B5" s="17" t="str">
        <x:v>部品型番</x:v>
      </x:c>
      <x:c r="C5" s="17" t="str">
        <x:v>部品の概要</x:v>
      </x:c>
      <x:c r="D5" s="17" t="str">
        <x:v>パッケージ</x:v>
      </x:c>
      <x:c r="E5" s="17" t="str">
        <x:v>CAD上の部品番号</x:v>
      </x:c>
      <x:c r="F5" s="17" t="str">
        <x:v>実装数</x:v>
      </x:c>
      <x:c r="G5" s="17" t="str">
        <x:v>購入先</x:v>
      </x:c>
      <x:c r="H5" s="17" t="str">
        <x:v>商品No</x:v>
      </x:c>
      <x:c r="I5" s="17" t="str">
        <x:v>販売単位</x:v>
      </x:c>
      <x:c r="J5" s="17" t="str">
        <x:v>購入数</x:v>
      </x:c>
      <x:c r="K5" s="17" t="str">
        <x:v>単価（税込）</x:v>
      </x:c>
      <x:c r="L5" s="17" t="str">
        <x:v>小計（税込）</x:v>
      </x:c>
      <x:c r="M5" s="17" t="str">
        <x:v>在庫・注意</x:v>
      </x:c>
      <x:c r="N5" s="17" t="str">
        <x:v>商品URL</x:v>
      </x:c>
      <x:c r="O5" s="17" t="str">
        <x:v>価格確認日</x:v>
      </x:c>
    </x:row>
    <x:row r="6" ht="15" hidden="0" customHeight="1">
      <x:c r="A6" s="23" t="str">
        <x:v>購入</x:v>
      </x:c>
      <x:c r="B6" s="21" t="str">
        <x:v>GRM155R71H104KE</x:v>
      </x:c>
      <x:c r="C6" s="21" t="str">
        <x:v>MLCC 0.1uF 50V X7R</x:v>
      </x:c>
      <x:c r="D6" s="21" t="str">
        <x:v>1005M (0402)</x:v>
      </x:c>
      <x:c r="E6" s="21" t="str">
        <x:v>C1, C2, C5, C6, C8, C21, C24, C25, C_MCU0〜C_MCU3</x:v>
      </x:c>
      <x:c r="F6" s="32" t="n">
        <x:v>12</x:v>
      </x:c>
      <x:c r="G6" s="21" t="str">
        <x:v>秋月電子通商</x:v>
      </x:c>
      <x:c r="H6" s="21" t="str">
        <x:v>113377</x:v>
      </x:c>
      <x:c r="I6" s="21" t="str">
        <x:v>25個/袋</x:v>
      </x:c>
      <x:c r="J6" s="32" t="n">
        <x:v>1</x:v>
      </x:c>
      <x:c r="K6" s="35" t="n">
        <x:v>100</x:v>
      </x:c>
      <x:c r="L6" s="35" t="n">
        <x:f>IF(OR(A6="手持ち",A6="購入不要"),"",IF(OR(J6="",K6=""),"",J6*K6))</x:f>
        <x:v>100</x:v>
      </x:c>
      <x:c r="M6" s="21" t="str">
        <x:v>25個袋を1袋。CADの25V指定を50V品で満たす。</x:v>
      </x:c>
      <x:c r="N6" s="21" t="str">
        <x:v>https://akizukidenshi.com/catalog/g/g113377/</x:v>
      </x:c>
      <x:c r="O6" s="32" t="str">
        <x:v>2026-08-23</x:v>
      </x:c>
    </x:row>
    <x:row r="7" ht="15" hidden="0" customHeight="1">
      <x:c r="A7" s="23" t="str">
        <x:v>購入</x:v>
      </x:c>
      <x:c r="B7" s="24" t="str">
        <x:v>GRM155R6YA225KE11</x:v>
      </x:c>
      <x:c r="C7" s="24" t="str">
        <x:v>MLCC 2.2uF 35V X5R</x:v>
      </x:c>
      <x:c r="D7" s="24" t="str">
        <x:v>1005M (0402)</x:v>
      </x:c>
      <x:c r="E7" s="24" t="str">
        <x:v>C3, C15, C_MCU-C0</x:v>
      </x:c>
      <x:c r="F7" s="33" t="n">
        <x:v>3</x:v>
      </x:c>
      <x:c r="G7" s="24" t="str">
        <x:v>秋月電子通商</x:v>
      </x:c>
      <x:c r="H7" s="24" t="str">
        <x:v>112929</x:v>
      </x:c>
      <x:c r="I7" s="24" t="str">
        <x:v>10個/袋</x:v>
      </x:c>
      <x:c r="J7" s="33" t="n">
        <x:v>1</x:v>
      </x:c>
      <x:c r="K7" s="36" t="n">
        <x:v>100</x:v>
      </x:c>
      <x:c r="L7" s="36" t="n">
        <x:f>IF(OR(A7="手持ち",A7="購入不要"),"",IF(OR(J7="",K7=""),"",J7*K7))</x:f>
        <x:v>100</x:v>
      </x:c>
      <x:c r="M7" s="24" t="str">
        <x:v>10個袋を1袋。</x:v>
      </x:c>
      <x:c r="N7" s="24" t="str">
        <x:v>https://akizukidenshi.com/catalog/g/g112929/</x:v>
      </x:c>
      <x:c r="O7" s="33" t="str">
        <x:v>2026-08-23</x:v>
      </x:c>
    </x:row>
    <x:row r="8" ht="21.600000381469727" hidden="0" customHeight="1">
      <x:c r="A8" s="23" t="str">
        <x:v>購入</x:v>
      </x:c>
      <x:c r="B8" s="21" t="str">
        <x:v>GMC21X7R106K25NT</x:v>
      </x:c>
      <x:c r="C8" s="21" t="str">
        <x:v>MLCC 10uF 25V X7R</x:v>
      </x:c>
      <x:c r="D8" s="21" t="str">
        <x:v>2012M (0805)</x:v>
      </x:c>
      <x:c r="E8" s="21" t="str">
        <x:v>C7, C9, C22</x:v>
      </x:c>
      <x:c r="F8" s="32" t="n">
        <x:v>3</x:v>
      </x:c>
      <x:c r="G8" s="21" t="str">
        <x:v>DigiKey</x:v>
      </x:c>
      <x:c r="H8" s="21" t="str">
        <x:v>4713-GMC21X7R106K25NTCT-ND</x:v>
      </x:c>
      <x:c r="I8" s="21" t="str">
        <x:v>1個（カットテープ）</x:v>
      </x:c>
      <x:c r="J8" s="32" t="n">
        <x:v>3</x:v>
      </x:c>
      <x:c r="K8" s="35" t="n">
        <x:v>73.7</x:v>
      </x:c>
      <x:c r="L8" s="35" t="n">
        <x:f>IF(OR(A8="手持ち",A8="購入不要"),"",IF(OR(J8="",K8=""),"",J8*K8))</x:f>
        <x:v>221.10000000000002</x:v>
      </x:c>
      <x:c r="M8" s="21" t="str">
        <x:v>秋月に同一容量・電圧・X7R品がないためDigiKey。税込換算。</x:v>
      </x:c>
      <x:c r="N8" s="21" t="str">
        <x:v>https://www.digikey.jp/ja/products/detail/cal-chip-electronics-inc/GMC21X7R106K25NT/22640097</x:v>
      </x:c>
      <x:c r="O8" s="32" t="str">
        <x:v>2026-08-23</x:v>
      </x:c>
    </x:row>
    <x:row r="9" ht="15" hidden="0" customHeight="1">
      <x:c r="A9" s="23" t="str">
        <x:v>購入</x:v>
      </x:c>
      <x:c r="B9" s="24" t="str">
        <x:v>GRM155R61E105KE11</x:v>
      </x:c>
      <x:c r="C9" s="24" t="str">
        <x:v>MLCC 1uF 25V X5R</x:v>
      </x:c>
      <x:c r="D9" s="24" t="str">
        <x:v>1005M (0402)</x:v>
      </x:c>
      <x:c r="E9" s="24" t="str">
        <x:v>C14</x:v>
      </x:c>
      <x:c r="F9" s="33" t="n">
        <x:v>1</x:v>
      </x:c>
      <x:c r="G9" s="24" t="str">
        <x:v>秋月電子通商</x:v>
      </x:c>
      <x:c r="H9" s="24" t="str">
        <x:v>113584</x:v>
      </x:c>
      <x:c r="I9" s="24" t="str">
        <x:v>20個/袋</x:v>
      </x:c>
      <x:c r="J9" s="33" t="n">
        <x:v>1</x:v>
      </x:c>
      <x:c r="K9" s="36" t="n">
        <x:v>100</x:v>
      </x:c>
      <x:c r="L9" s="36" t="n">
        <x:f>IF(OR(A9="手持ち",A9="購入不要"),"",IF(OR(J9="",K9=""),"",J9*K9))</x:f>
        <x:v>100</x:v>
      </x:c>
      <x:c r="M9" s="24" t="str">
        <x:v>20個袋を1袋。</x:v>
      </x:c>
      <x:c r="N9" s="24" t="str">
        <x:v>https://akizukidenshi.com/catalog/g/g113584/</x:v>
      </x:c>
      <x:c r="O9" s="33" t="str">
        <x:v>2026-08-23</x:v>
      </x:c>
    </x:row>
    <x:row r="10" ht="21.600000381469727" hidden="0" customHeight="1">
      <x:c r="A10" s="23" t="str">
        <x:v>購入</x:v>
      </x:c>
      <x:c r="B10" s="21" t="str">
        <x:v>GMC21X7R226M10NT</x:v>
      </x:c>
      <x:c r="C10" s="21" t="str">
        <x:v>MLCC 22uF 10V X7R</x:v>
      </x:c>
      <x:c r="D10" s="21" t="str">
        <x:v>2012M (0805)</x:v>
      </x:c>
      <x:c r="E10" s="21" t="str">
        <x:v>C23</x:v>
      </x:c>
      <x:c r="F10" s="32" t="n">
        <x:v>1</x:v>
      </x:c>
      <x:c r="G10" s="21" t="str">
        <x:v>DigiKey</x:v>
      </x:c>
      <x:c r="H10" s="21" t="str">
        <x:v>4713-GMC21X7R226M10NTCT-ND</x:v>
      </x:c>
      <x:c r="I10" s="21" t="str">
        <x:v>1個（カットテープ）</x:v>
      </x:c>
      <x:c r="J10" s="32" t="n">
        <x:v>1</x:v>
      </x:c>
      <x:c r="K10" s="35" t="n">
        <x:v>84.7</x:v>
      </x:c>
      <x:c r="L10" s="35" t="n">
        <x:f>IF(OR(A10="手持ち",A10="購入不要"),"",IF(OR(J10="",K10=""),"",J10*K10))</x:f>
        <x:v>84.7</x:v>
      </x:c>
      <x:c r="M10" s="21" t="str">
        <x:v>秋月にX7R品がないためDigiKey。税込換算。</x:v>
      </x:c>
      <x:c r="N10" s="21" t="str">
        <x:v>https://www.digikey.jp/ja/products/detail/cal-chip-electronics-inc/GMC21X7R226M10NT/22461324</x:v>
      </x:c>
      <x:c r="O10" s="32" t="str">
        <x:v>2026-08-23</x:v>
      </x:c>
    </x:row>
    <x:row r="11" ht="15" hidden="0" customHeight="1">
      <x:c r="A11" s="23" t="str">
        <x:v>購入</x:v>
      </x:c>
      <x:c r="B11" s="24" t="str">
        <x:v>GRM155R61A475MEAA</x:v>
      </x:c>
      <x:c r="C11" s="24" t="str">
        <x:v>MLCC 4.7uF 10V X5R</x:v>
      </x:c>
      <x:c r="D11" s="24" t="str">
        <x:v>1005M (0402)</x:v>
      </x:c>
      <x:c r="E11" s="24" t="str">
        <x:v>C_MCU-M0</x:v>
      </x:c>
      <x:c r="F11" s="33" t="n">
        <x:v>1</x:v>
      </x:c>
      <x:c r="G11" s="24" t="str">
        <x:v>秋月電子通商</x:v>
      </x:c>
      <x:c r="H11" s="24" t="str">
        <x:v>113700</x:v>
      </x:c>
      <x:c r="I11" s="24" t="str">
        <x:v>20個/袋</x:v>
      </x:c>
      <x:c r="J11" s="33" t="n">
        <x:v>1</x:v>
      </x:c>
      <x:c r="K11" s="36" t="n">
        <x:v>100</x:v>
      </x:c>
      <x:c r="L11" s="36" t="n">
        <x:f>IF(OR(A11="手持ち",A11="購入不要"),"",IF(OR(J11="",K11=""),"",J11*K11))</x:f>
        <x:v>100</x:v>
      </x:c>
      <x:c r="M11" s="24" t="str">
        <x:v>20個袋を1袋。</x:v>
      </x:c>
      <x:c r="N11" s="24" t="str">
        <x:v>https://akizukidenshi.com/catalog/g/g113700/</x:v>
      </x:c>
      <x:c r="O11" s="33" t="str">
        <x:v>2026-08-23</x:v>
      </x:c>
    </x:row>
    <x:row r="12" ht="15" hidden="0" customHeight="1">
      <x:c r="A12" s="23" t="str">
        <x:v>購入</x:v>
      </x:c>
      <x:c r="B12" s="21" t="str">
        <x:v>BAS16WT1G</x:v>
      </x:c>
      <x:c r="C12" s="21" t="str">
        <x:v>小信号スイッチングダイオード 100V/200mA</x:v>
      </x:c>
      <x:c r="D12" s="21" t="str">
        <x:v>SOT-323 (SC-70-3)</x:v>
      </x:c>
      <x:c r="E12" s="21" t="str">
        <x:v>D3, D4</x:v>
      </x:c>
      <x:c r="F12" s="32" t="n">
        <x:v>2</x:v>
      </x:c>
      <x:c r="G12" s="21" t="str">
        <x:v>DigiKey</x:v>
      </x:c>
      <x:c r="H12" s="21" t="str">
        <x:v>BAS16WT1GOSCT-ND</x:v>
      </x:c>
      <x:c r="I12" s="21" t="str">
        <x:v>1個（カットテープ）</x:v>
      </x:c>
      <x:c r="J12" s="32" t="n">
        <x:v>2</x:v>
      </x:c>
      <x:c r="K12" s="35" t="n">
        <x:v>24.2</x:v>
      </x:c>
      <x:c r="L12" s="35" t="n">
        <x:f>IF(OR(A12="手持ち",A12="購入不要"),"",IF(OR(J12="",K12=""),"",J12*K12))</x:f>
        <x:v>48.4</x:v>
      </x:c>
      <x:c r="M12" s="21" t="str">
        <x:v>CAD値末尾のWは表記揺れと判断。正式MPN BAS16WT1G。税込換算。</x:v>
      </x:c>
      <x:c r="N12" s="21" t="str">
        <x:v>https://www.digikey.jp/ja/products/detail/onsemi/BAS16WT1G/918303</x:v>
      </x:c>
      <x:c r="O12" s="32" t="str">
        <x:v>2026-08-23</x:v>
      </x:c>
    </x:row>
    <x:row r="13" ht="21.600000381469727" hidden="0" customHeight="1">
      <x:c r="A13" s="23" t="str">
        <x:v>購入</x:v>
      </x:c>
      <x:c r="B13" s="24" t="str">
        <x:v>BZT52-C15S_R1_00001</x:v>
      </x:c>
      <x:c r="C13" s="24" t="str">
        <x:v>ツェナーダイオード 15V 200mW ±5%</x:v>
      </x:c>
      <x:c r="D13" s="24" t="str">
        <x:v>SOD-323</x:v>
      </x:c>
      <x:c r="E13" s="24" t="str">
        <x:v>D5</x:v>
      </x:c>
      <x:c r="F13" s="33" t="n">
        <x:v>1</x:v>
      </x:c>
      <x:c r="G13" s="24" t="str">
        <x:v>DigiKey</x:v>
      </x:c>
      <x:c r="H13" s="24" t="str">
        <x:v>3757-BZT52-C15S_R1_00001CT-ND</x:v>
      </x:c>
      <x:c r="I13" s="24" t="str">
        <x:v>1個（カットテープ）</x:v>
      </x:c>
      <x:c r="J13" s="33" t="n">
        <x:v>1</x:v>
      </x:c>
      <x:c r="K13" s="36" t="n">
        <x:v>24.2</x:v>
      </x:c>
      <x:c r="L13" s="36" t="n">
        <x:f>IF(OR(A13="手持ち",A13="購入不要"),"",IF(OR(J13="",K13=""),"",J13*K13))</x:f>
        <x:v>24.2</x:v>
      </x:c>
      <x:c r="M13" s="24" t="str">
        <x:v>税込換算。</x:v>
      </x:c>
      <x:c r="N13" s="24" t="str">
        <x:v>https://www.digikey.jp/ja/products/detail/panjit-international-inc/BZT52-C15S-R1-00001/14661490</x:v>
      </x:c>
      <x:c r="O13" s="33" t="str">
        <x:v>2026-08-23</x:v>
      </x:c>
    </x:row>
    <x:row r="14" ht="15" hidden="0" customHeight="1">
      <x:c r="A14" s="26" t="str">
        <x:v>購入不要</x:v>
      </x:c>
      <x:c r="B14" s="21" t="str">
        <x:v>基板パターン（PTR1TP06SQ）</x:v>
      </x:c>
      <x:c r="C14" s="21" t="str">
        <x:v>エンコーダ接続用スルーホール／接点</x:v>
      </x:c>
      <x:c r="D14" s="21" t="str">
        <x:v>TP06SQ（基板パターン）</x:v>
      </x:c>
      <x:c r="E14" s="21" t="str">
        <x:v>EC_L1〜EC_L4, EC_R1〜EC_R4</x:v>
      </x:c>
      <x:c r="F14" s="32" t="n">
        <x:v>8</x:v>
      </x:c>
      <x:c r="G14" s="21" t="str"/>
      <x:c r="H14" s="21" t="str"/>
      <x:c r="I14" s="21" t="str"/>
      <x:c r="J14" s="32"/>
      <x:c r="K14" s="35"/>
      <x:c r="L14" s="35" t="str">
        <x:f>IF(OR(A14="手持ち",A14="購入不要"),"",IF(OR(J14="",K14=""),"",J14*K14))</x:f>
      </x:c>
      <x:c r="M14" s="21" t="str">
        <x:v>実装部品ではなく基板上の接続パッド。</x:v>
      </x:c>
      <x:c r="N14" s="21" t="str"/>
      <x:c r="O14" s="32" t="str">
        <x:v>2026-08-23</x:v>
      </x:c>
    </x:row>
    <x:row r="15" ht="15" hidden="0" customHeight="1">
      <x:c r="A15" s="23" t="str">
        <x:v>購入</x:v>
      </x:c>
      <x:c r="B15" s="24" t="str">
        <x:v>CL-1KL7</x:v>
      </x:c>
      <x:c r="C15" s="24" t="str">
        <x:v>赤外LED 880nm 狭指向性（壁センサ送光）</x:v>
      </x:c>
      <x:c r="D15" s="24" t="str">
        <x:v>3mm砲弾型 / TO-18相当</x:v>
      </x:c>
      <x:c r="E15" s="24" t="str">
        <x:v>IR_LED_FL0, IR_LED_FR0, IR_LED_L0, IR_LED_R0</x:v>
      </x:c>
      <x:c r="F15" s="33" t="n">
        <x:v>4</x:v>
      </x:c>
      <x:c r="G15" s="24" t="str">
        <x:v>梅沢無線</x:v>
      </x:c>
      <x:c r="H15" s="24" t="str">
        <x:v>CL-1KL7[5個入]</x:v>
      </x:c>
      <x:c r="I15" s="24" t="str">
        <x:v>5個/袋</x:v>
      </x:c>
      <x:c r="J15" s="33" t="n">
        <x:v>1</x:v>
      </x:c>
      <x:c r="K15" s="36" t="n">
        <x:v>1225</x:v>
      </x:c>
      <x:c r="L15" s="36" t="n">
        <x:f>IF(OR(A15="手持ち",A15="購入不要"),"",IF(OR(J15="",K15=""),"",J15*K15))</x:f>
        <x:v>1225</x:v>
      </x:c>
      <x:c r="M15" s="24" t="str">
        <x:v>旧Nightfall部品表からCADの汎用LED3MMを具体化。5個袋を1袋。</x:v>
      </x:c>
      <x:c r="N15" s="24" t="str">
        <x:v>https://umezawa-sendai.shop-pro.jp/?gid=3028749&amp;mode=grp</x:v>
      </x:c>
      <x:c r="O15" s="33" t="str">
        <x:v>2026-08-23</x:v>
      </x:c>
    </x:row>
    <x:row r="16" ht="15" hidden="0" customHeight="1">
      <x:c r="A16" s="23" t="str">
        <x:v>購入</x:v>
      </x:c>
      <x:c r="B16" s="21" t="str">
        <x:v>ST-1KL3A</x:v>
      </x:c>
      <x:c r="C16" s="21" t="str">
        <x:v>フォトトランジスタ 880nm 狭指向性（壁センサ受光）</x:v>
      </x:c>
      <x:c r="D16" s="21" t="str">
        <x:v>3mm砲弾型 / TO-18相当</x:v>
      </x:c>
      <x:c r="E16" s="21" t="str">
        <x:v>PT_FL0, PT_FR0, PT_L0, PT_R0</x:v>
      </x:c>
      <x:c r="F16" s="32" t="n">
        <x:v>4</x:v>
      </x:c>
      <x:c r="G16" s="21" t="str">
        <x:v>梅沢無線</x:v>
      </x:c>
      <x:c r="H16" s="21" t="str">
        <x:v>ST-1KL3A[5個入]</x:v>
      </x:c>
      <x:c r="I16" s="21" t="str">
        <x:v>5個/袋</x:v>
      </x:c>
      <x:c r="J16" s="32" t="n">
        <x:v>1</x:v>
      </x:c>
      <x:c r="K16" s="35" t="n">
        <x:v>1100</x:v>
      </x:c>
      <x:c r="L16" s="35" t="n">
        <x:f>IF(OR(A16="手持ち",A16="購入不要"),"",IF(OR(J16="",K16=""),"",J16*K16))</x:f>
        <x:v>1100</x:v>
      </x:c>
      <x:c r="M16" s="21" t="str">
        <x:v>旧Nightfall部品表からCADの汎用LED3MMを具体化。5個袋を1袋。</x:v>
      </x:c>
      <x:c r="N16" s="21" t="str">
        <x:v>https://umezawa-sendai.shop-pro.jp/?gid=3028749&amp;mode=grp</x:v>
      </x:c>
      <x:c r="O16" s="32" t="str">
        <x:v>2026-08-23</x:v>
      </x:c>
    </x:row>
    <x:row r="17" ht="15" hidden="0" customHeight="1">
      <x:c r="A17" s="26" t="str">
        <x:v>購入不要</x:v>
      </x:c>
      <x:c r="B17" s="24" t="str">
        <x:v>基板パターン（FAN_WIRE_PADS_2P）</x:v>
      </x:c>
      <x:c r="C17" s="24" t="str">
        <x:v>吸引ファン配線用はんだパッド</x:v>
      </x:c>
      <x:c r="D17" s="24" t="str">
        <x:v>2極基板パッド</x:v>
      </x:c>
      <x:c r="E17" s="24" t="str">
        <x:v>J2</x:v>
      </x:c>
      <x:c r="F17" s="33" t="n">
        <x:v>1</x:v>
      </x:c>
      <x:c r="G17" s="24" t="str"/>
      <x:c r="H17" s="24" t="str"/>
      <x:c r="I17" s="24" t="str"/>
      <x:c r="J17" s="33"/>
      <x:c r="K17" s="36"/>
      <x:c r="L17" s="36" t="str">
        <x:f>IF(OR(A17="手持ち",A17="購入不要"),"",IF(OR(J17="",K17=""),"",J17*K17))</x:f>
      </x:c>
      <x:c r="M17" s="24" t="str">
        <x:v>コネクタ部品は実装せず、配線を直接はんだ付け。</x:v>
      </x:c>
      <x:c r="N17" s="24" t="str"/>
      <x:c r="O17" s="33" t="str">
        <x:v>2026-08-23</x:v>
      </x:c>
    </x:row>
    <x:row r="18" ht="21.600000381469727" hidden="0" customHeight="1">
      <x:c r="A18" s="23" t="str">
        <x:v>購入</x:v>
      </x:c>
      <x:c r="B18" s="21" t="str">
        <x:v>62201021121</x:v>
      </x:c>
      <x:c r="C18" s="21" t="str">
        <x:v>1.27mmピッチ 2列10極 ピンヘッダ</x:v>
      </x:c>
      <x:c r="D18" s="21" t="str">
        <x:v>THT 2×5, 1.27mm pitch</x:v>
      </x:c>
      <x:c r="E18" s="21" t="str">
        <x:v>K1</x:v>
      </x:c>
      <x:c r="F18" s="32" t="n">
        <x:v>1</x:v>
      </x:c>
      <x:c r="G18" s="21" t="str">
        <x:v>DigiKey</x:v>
      </x:c>
      <x:c r="H18" s="21" t="str">
        <x:v>732-5374-ND</x:v>
      </x:c>
      <x:c r="I18" s="21" t="str">
        <x:v>1個（バルク）</x:v>
      </x:c>
      <x:c r="J18" s="32" t="n">
        <x:v>1</x:v>
      </x:c>
      <x:c r="K18" s="35" t="n">
        <x:v>261.8</x:v>
      </x:c>
      <x:c r="L18" s="35" t="n">
        <x:f>IF(OR(A18="手持ち",A18="購入不要"),"",IF(OR(J18="",K18=""),"",J18*K18))</x:f>
        <x:v>261.8</x:v>
      </x:c>
      <x:c r="M18" s="21" t="str">
        <x:v>税込換算。</x:v>
      </x:c>
      <x:c r="N18" s="21" t="str">
        <x:v>https://www.digikey.jp/ja/products/detail/w%C3%BCrth-elektronik/62201021121/4846893</x:v>
      </x:c>
      <x:c r="O18" s="32" t="str">
        <x:v>2026-08-23</x:v>
      </x:c>
    </x:row>
    <x:row r="19" ht="15" hidden="0" customHeight="1">
      <x:c r="A19" s="28" t="str">
        <x:v>手持ち</x:v>
      </x:c>
      <x:c r="B19" s="24" t="str">
        <x:v>手持ち1608MチップLED</x:v>
      </x:c>
      <x:c r="C19" s="24" t="str">
        <x:v>表示用チップLED（色は実装時選定）</x:v>
      </x:c>
      <x:c r="D19" s="24" t="str">
        <x:v>1608M (0603)</x:v>
      </x:c>
      <x:c r="E19" s="24" t="str">
        <x:v>LED1, LED2, LED3, P-LED0</x:v>
      </x:c>
      <x:c r="F19" s="33" t="n">
        <x:v>4</x:v>
      </x:c>
      <x:c r="G19" s="24" t="str"/>
      <x:c r="H19" s="24" t="str"/>
      <x:c r="I19" s="24" t="str">
        <x:v>手持ち</x:v>
      </x:c>
      <x:c r="J19" s="33"/>
      <x:c r="K19" s="36"/>
      <x:c r="L19" s="36" t="str">
        <x:f>IF(OR(A19="手持ち",A19="購入不要"),"",IF(OR(J19="",K19=""),"",J19*K19))</x:f>
      </x:c>
      <x:c r="M19" s="24" t="str">
        <x:v>購入先・価格は依頼どおり省略。</x:v>
      </x:c>
      <x:c r="N19" s="24" t="str"/>
      <x:c r="O19" s="33" t="str">
        <x:v>2026-08-23</x:v>
      </x:c>
    </x:row>
    <x:row r="20" ht="15" hidden="0" customHeight="1">
      <x:c r="A20" s="23" t="str">
        <x:v>購入</x:v>
      </x:c>
      <x:c r="B20" s="21" t="str">
        <x:v>TL6330AF200Q</x:v>
      </x:c>
      <x:c r="C20" s="21" t="str">
        <x:v>タクタイルスイッチ SPST-NO 200gf IP67</x:v>
      </x:c>
      <x:c r="D20" s="21" t="str">
        <x:v>SMD 4.6×2.8mm</x:v>
      </x:c>
      <x:c r="E20" s="21" t="str">
        <x:v>MODE0, RESET0</x:v>
      </x:c>
      <x:c r="F20" s="32" t="n">
        <x:v>2</x:v>
      </x:c>
      <x:c r="G20" s="21" t="str">
        <x:v>DigiKey</x:v>
      </x:c>
      <x:c r="H20" s="21" t="str">
        <x:v>EG5546CT-ND</x:v>
      </x:c>
      <x:c r="I20" s="21" t="str">
        <x:v>1個（カットテープ）</x:v>
      </x:c>
      <x:c r="J20" s="32" t="n">
        <x:v>2</x:v>
      </x:c>
      <x:c r="K20" s="35" t="n">
        <x:v>168.3</x:v>
      </x:c>
      <x:c r="L20" s="35" t="n">
        <x:f>IF(OR(A20="手持ち",A20="購入不要"),"",IF(OR(J20="",K20=""),"",J20*K20))</x:f>
        <x:v>336.6</x:v>
      </x:c>
      <x:c r="M20" s="21" t="str">
        <x:v>税込換算。</x:v>
      </x:c>
      <x:c r="N20" s="21" t="str">
        <x:v>https://www.digikey.jp/ja/products/detail/e-switch/TL6330AF200Q/8032037</x:v>
      </x:c>
      <x:c r="O20" s="32" t="str">
        <x:v>2026-08-23</x:v>
      </x:c>
    </x:row>
    <x:row r="21" ht="15" hidden="0" customHeight="1">
      <x:c r="A21" s="23" t="str">
        <x:v>購入</x:v>
      </x:c>
      <x:c r="B21" s="24" t="str">
        <x:v>B2B-PH-K-S(LF)(SN)</x:v>
      </x:c>
      <x:c r="C21" s="24" t="str">
        <x:v>JST PH 2極 バッテリ用基板ヘッダ</x:v>
      </x:c>
      <x:c r="D21" s="24" t="str">
        <x:v>THT, 2.0mm pitch</x:v>
      </x:c>
      <x:c r="E21" s="24" t="str">
        <x:v>P1</x:v>
      </x:c>
      <x:c r="F21" s="33" t="n">
        <x:v>1</x:v>
      </x:c>
      <x:c r="G21" s="24" t="str">
        <x:v>秋月電子通商</x:v>
      </x:c>
      <x:c r="H21" s="24" t="str">
        <x:v>112802</x:v>
      </x:c>
      <x:c r="I21" s="24" t="str">
        <x:v>1個</x:v>
      </x:c>
      <x:c r="J21" s="33" t="n">
        <x:v>1</x:v>
      </x:c>
      <x:c r="K21" s="36" t="n">
        <x:v>10</x:v>
      </x:c>
      <x:c r="L21" s="36" t="n">
        <x:f>IF(OR(A21="手持ち",A21="購入不要"),"",IF(OR(J21="",K21=""),"",J21*K21))</x:f>
        <x:v>10</x:v>
      </x:c>
      <x:c r="M21" s="24" t="str">
        <x:v>基板フットプリント JST_PH2 に適合。</x:v>
      </x:c>
      <x:c r="N21" s="24" t="str">
        <x:v>https://akizukidenshi.com/catalog/g/g112802/</x:v>
      </x:c>
      <x:c r="O21" s="33" t="str">
        <x:v>2026-08-23</x:v>
      </x:c>
    </x:row>
    <x:row r="22" ht="15" hidden="0" customHeight="1">
      <x:c r="A22" s="23" t="str">
        <x:v>購入</x:v>
      </x:c>
      <x:c r="B22" s="21" t="str">
        <x:v>EG1215AA</x:v>
      </x:c>
      <x:c r="C22" s="21" t="str">
        <x:v>スライドスイッチ SPDT 25mA/24V</x:v>
      </x:c>
      <x:c r="D22" s="21" t="str">
        <x:v>SMD ライトアングル</x:v>
      </x:c>
      <x:c r="E22" s="21" t="str">
        <x:v>POWER0</x:v>
      </x:c>
      <x:c r="F22" s="32" t="n">
        <x:v>1</x:v>
      </x:c>
      <x:c r="G22" s="21" t="str">
        <x:v>DigiKey</x:v>
      </x:c>
      <x:c r="H22" s="21" t="str">
        <x:v>EG5720CT-ND</x:v>
      </x:c>
      <x:c r="I22" s="21" t="str">
        <x:v>1個（カットテープ）</x:v>
      </x:c>
      <x:c r="J22" s="32" t="n">
        <x:v>1</x:v>
      </x:c>
      <x:c r="K22" s="35" t="n">
        <x:v>172.7</x:v>
      </x:c>
      <x:c r="L22" s="35" t="n">
        <x:f>IF(OR(A22="手持ち",A22="購入不要"),"",IF(OR(J22="",K22=""),"",J22*K22))</x:f>
        <x:v>172.7</x:v>
      </x:c>
      <x:c r="M22" s="21" t="str">
        <x:v>税込換算。</x:v>
      </x:c>
      <x:c r="N22" s="21" t="str">
        <x:v>https://www.digikey.jp/ja/products/detail/e-switch/EG1215AA/9559277</x:v>
      </x:c>
      <x:c r="O22" s="32" t="str">
        <x:v>2026-08-23</x:v>
      </x:c>
    </x:row>
    <x:row r="23" ht="21.600000381469727" hidden="0" customHeight="1">
      <x:c r="A23" s="23" t="str">
        <x:v>購入</x:v>
      </x:c>
      <x:c r="B23" s="24" t="str">
        <x:v>PJS6403_S1_00001</x:v>
      </x:c>
      <x:c r="C23" s="24" t="str">
        <x:v>P-ch パワーMOSFET 30V/6.4A</x:v>
      </x:c>
      <x:c r="D23" s="24" t="str">
        <x:v>SOT-23-6</x:v>
      </x:c>
      <x:c r="E23" s="24" t="str">
        <x:v>Q2</x:v>
      </x:c>
      <x:c r="F23" s="33" t="n">
        <x:v>1</x:v>
      </x:c>
      <x:c r="G23" s="24" t="str">
        <x:v>DigiKey</x:v>
      </x:c>
      <x:c r="H23" s="24" t="str">
        <x:v>3757-PJS6403_S1_00001CT-ND</x:v>
      </x:c>
      <x:c r="I23" s="24" t="str">
        <x:v>1個（カットテープ）</x:v>
      </x:c>
      <x:c r="J23" s="33" t="n">
        <x:v>1</x:v>
      </x:c>
      <x:c r="K23" s="36" t="n">
        <x:v>772.2</x:v>
      </x:c>
      <x:c r="L23" s="36" t="n">
        <x:f>IF(OR(A23="手持ち",A23="購入不要"),"",IF(OR(J23="",K23=""),"",J23*K23))</x:f>
        <x:v>772.2</x:v>
      </x:c>
      <x:c r="M23" s="24" t="str">
        <x:v>国内表示価格が高め。注文直前に再見積り推奨。税込換算。</x:v>
      </x:c>
      <x:c r="N23" s="24" t="str">
        <x:v>https://www.digikey.jp/ja/products/detail/panjit-international-inc/PJS6403-S1-00001/15799735</x:v>
      </x:c>
      <x:c r="O23" s="33" t="str">
        <x:v>2026-08-23</x:v>
      </x:c>
    </x:row>
    <x:row r="24" ht="15" hidden="0" customHeight="1">
      <x:c r="A24" s="23" t="str">
        <x:v>購入</x:v>
      </x:c>
      <x:c r="B24" s="21" t="str">
        <x:v>IRLML6344TRPBF</x:v>
      </x:c>
      <x:c r="C24" s="21" t="str">
        <x:v>N-ch パワーMOSFET 30V/5A（ファン駆動）</x:v>
      </x:c>
      <x:c r="D24" s="21" t="str">
        <x:v>SOT-23</x:v>
      </x:c>
      <x:c r="E24" s="21" t="str">
        <x:v>Q3</x:v>
      </x:c>
      <x:c r="F24" s="32" t="n">
        <x:v>1</x:v>
      </x:c>
      <x:c r="G24" s="21" t="str">
        <x:v>マルツ</x:v>
      </x:c>
      <x:c r="H24" s="21" t="str">
        <x:v>M2789-599</x:v>
      </x:c>
      <x:c r="I24" s="21" t="str">
        <x:v>1個</x:v>
      </x:c>
      <x:c r="J24" s="32" t="n">
        <x:v>1</x:v>
      </x:c>
      <x:c r="K24" s="35" t="n">
        <x:v>49</x:v>
      </x:c>
      <x:c r="L24" s="35" t="n">
        <x:f>IF(OR(A24="手持ち",A24="購入不要"),"",IF(OR(J24="",K24=""),"",J24*K24))</x:f>
        <x:v>49</x:v>
      </x:c>
      <x:c r="M24" s="21" t="str">
        <x:v>DigiKey在庫切れのため国内在庫品。在庫限り。</x:v>
      </x:c>
      <x:c r="N24" s="21" t="str">
        <x:v>https://www.marutsu.co.jp/pc/i/2789599/</x:v>
      </x:c>
      <x:c r="O24" s="32" t="str">
        <x:v>2026-08-23</x:v>
      </x:c>
    </x:row>
    <x:row r="25" ht="15" hidden="0" customHeight="1">
      <x:c r="A25" s="28" t="str">
        <x:v>手持ち</x:v>
      </x:c>
      <x:c r="B25" s="24" t="str">
        <x:v>1005M抵抗 0Ω</x:v>
      </x:c>
      <x:c r="C25" s="24" t="str">
        <x:v>チップ抵抗 0Ω</x:v>
      </x:c>
      <x:c r="D25" s="24" t="str">
        <x:v>1005M (0402)</x:v>
      </x:c>
      <x:c r="E25" s="24" t="str">
        <x:v>R0</x:v>
      </x:c>
      <x:c r="F25" s="33" t="n">
        <x:v>1</x:v>
      </x:c>
      <x:c r="G25" s="24" t="str"/>
      <x:c r="H25" s="24" t="str"/>
      <x:c r="I25" s="24" t="str">
        <x:v>手持ち</x:v>
      </x:c>
      <x:c r="J25" s="33"/>
      <x:c r="K25" s="36"/>
      <x:c r="L25" s="36" t="str">
        <x:f>IF(OR(A25="手持ち",A25="購入不要"),"",IF(OR(J25="",K25=""),"",J25*K25))</x:f>
      </x:c>
      <x:c r="M25" s="24" t="str">
        <x:v>購入先・価格は依頼どおり省略。</x:v>
      </x:c>
      <x:c r="N25" s="24" t="str"/>
      <x:c r="O25" s="33" t="str">
        <x:v>2026-08-23</x:v>
      </x:c>
    </x:row>
    <x:row r="26" ht="15" hidden="0" customHeight="1">
      <x:c r="A26" s="28" t="str">
        <x:v>手持ち</x:v>
      </x:c>
      <x:c r="B26" s="21" t="str">
        <x:v>1005M抵抗 10kΩ</x:v>
      </x:c>
      <x:c r="C26" s="21" t="str">
        <x:v>チップ抵抗 10kΩ</x:v>
      </x:c>
      <x:c r="D26" s="21" t="str">
        <x:v>1005M (0402)</x:v>
      </x:c>
      <x:c r="E26" s="21" t="str">
        <x:v>R1〜R3, R4FL0, R4FR0, R4L0, R4R0, R6〜R8, R32</x:v>
      </x:c>
      <x:c r="F26" s="32" t="n">
        <x:v>11</x:v>
      </x:c>
      <x:c r="G26" s="21" t="str"/>
      <x:c r="H26" s="21" t="str"/>
      <x:c r="I26" s="21" t="str">
        <x:v>手持ち</x:v>
      </x:c>
      <x:c r="J26" s="32"/>
      <x:c r="K26" s="35"/>
      <x:c r="L26" s="35" t="str">
        <x:f>IF(OR(A26="手持ち",A26="購入不要"),"",IF(OR(J26="",K26=""),"",J26*K26))</x:f>
      </x:c>
      <x:c r="M26" s="21" t="str">
        <x:v>購入先・価格は依頼どおり省略。</x:v>
      </x:c>
      <x:c r="N26" s="21" t="str"/>
      <x:c r="O26" s="32" t="str">
        <x:v>2026-08-23</x:v>
      </x:c>
    </x:row>
    <x:row r="27" ht="15" hidden="0" customHeight="1">
      <x:c r="A27" s="28" t="str">
        <x:v>手持ち</x:v>
      </x:c>
      <x:c r="B27" s="24" t="str">
        <x:v>1005M抵抗 10Ω</x:v>
      </x:c>
      <x:c r="C27" s="24" t="str">
        <x:v>チップ抵抗 10Ω</x:v>
      </x:c>
      <x:c r="D27" s="24" t="str">
        <x:v>1005M (0402)</x:v>
      </x:c>
      <x:c r="E27" s="24" t="str">
        <x:v>R1FL0, R1FR0, R1L0, R1R0</x:v>
      </x:c>
      <x:c r="F27" s="33" t="n">
        <x:v>4</x:v>
      </x:c>
      <x:c r="G27" s="24" t="str"/>
      <x:c r="H27" s="24" t="str"/>
      <x:c r="I27" s="24" t="str">
        <x:v>手持ち</x:v>
      </x:c>
      <x:c r="J27" s="33"/>
      <x:c r="K27" s="36"/>
      <x:c r="L27" s="36" t="str">
        <x:f>IF(OR(A27="手持ち",A27="購入不要"),"",IF(OR(J27="",K27=""),"",J27*K27))</x:f>
      </x:c>
      <x:c r="M27" s="24" t="str">
        <x:v>購入先・価格は依頼どおり省略。</x:v>
      </x:c>
      <x:c r="N27" s="24" t="str"/>
      <x:c r="O27" s="33" t="str">
        <x:v>2026-08-23</x:v>
      </x:c>
    </x:row>
    <x:row r="28" ht="15" hidden="0" customHeight="1">
      <x:c r="A28" s="28" t="str">
        <x:v>手持ち</x:v>
      </x:c>
      <x:c r="B28" s="21" t="str">
        <x:v>1005M抵抗 1kΩ</x:v>
      </x:c>
      <x:c r="C28" s="21" t="str">
        <x:v>チップ抵抗 1kΩ</x:v>
      </x:c>
      <x:c r="D28" s="21" t="str">
        <x:v>1005M (0402)</x:v>
      </x:c>
      <x:c r="E28" s="21" t="str">
        <x:v>R2FL0, R2FR0, R2L0, R2R0, R25〜R28</x:v>
      </x:c>
      <x:c r="F28" s="32" t="n">
        <x:v>8</x:v>
      </x:c>
      <x:c r="G28" s="21" t="str"/>
      <x:c r="H28" s="21" t="str"/>
      <x:c r="I28" s="21" t="str">
        <x:v>手持ち</x:v>
      </x:c>
      <x:c r="J28" s="32"/>
      <x:c r="K28" s="35"/>
      <x:c r="L28" s="35" t="str">
        <x:f>IF(OR(A28="手持ち",A28="購入不要"),"",IF(OR(J28="",K28=""),"",J28*K28))</x:f>
      </x:c>
      <x:c r="M28" s="21" t="str">
        <x:v>購入先・価格は依頼どおり省略。</x:v>
      </x:c>
      <x:c r="N28" s="21" t="str"/>
      <x:c r="O28" s="32" t="str">
        <x:v>2026-08-23</x:v>
      </x:c>
    </x:row>
    <x:row r="29" ht="15" hidden="0" customHeight="1">
      <x:c r="A29" s="28" t="str">
        <x:v>手持ち</x:v>
      </x:c>
      <x:c r="B29" s="24" t="str">
        <x:v>1005M抵抗 100kΩ</x:v>
      </x:c>
      <x:c r="C29" s="24" t="str">
        <x:v>チップ抵抗 100kΩ</x:v>
      </x:c>
      <x:c r="D29" s="24" t="str">
        <x:v>1005M (0402)</x:v>
      </x:c>
      <x:c r="E29" s="24" t="str">
        <x:v>R4, R12, R29, R31</x:v>
      </x:c>
      <x:c r="F29" s="33" t="n">
        <x:v>4</x:v>
      </x:c>
      <x:c r="G29" s="24" t="str"/>
      <x:c r="H29" s="24" t="str"/>
      <x:c r="I29" s="24" t="str">
        <x:v>手持ち</x:v>
      </x:c>
      <x:c r="J29" s="33"/>
      <x:c r="K29" s="36"/>
      <x:c r="L29" s="36" t="str">
        <x:f>IF(OR(A29="手持ち",A29="購入不要"),"",IF(OR(J29="",K29=""),"",J29*K29))</x:f>
      </x:c>
      <x:c r="M29" s="24" t="str">
        <x:v>購入先・価格は依頼どおり省略。</x:v>
      </x:c>
      <x:c r="N29" s="24" t="str"/>
      <x:c r="O29" s="33" t="str">
        <x:v>2026-08-23</x:v>
      </x:c>
    </x:row>
    <x:row r="30" ht="15" hidden="0" customHeight="1">
      <x:c r="A30" s="28" t="str">
        <x:v>手持ち</x:v>
      </x:c>
      <x:c r="B30" s="21" t="str">
        <x:v>1005M抵抗 27kΩ</x:v>
      </x:c>
      <x:c r="C30" s="21" t="str">
        <x:v>チップ抵抗 27kΩ</x:v>
      </x:c>
      <x:c r="D30" s="21" t="str">
        <x:v>1005M (0402)</x:v>
      </x:c>
      <x:c r="E30" s="21" t="str">
        <x:v>R5</x:v>
      </x:c>
      <x:c r="F30" s="32" t="n">
        <x:v>1</x:v>
      </x:c>
      <x:c r="G30" s="21" t="str"/>
      <x:c r="H30" s="21" t="str"/>
      <x:c r="I30" s="21" t="str">
        <x:v>手持ち</x:v>
      </x:c>
      <x:c r="J30" s="32"/>
      <x:c r="K30" s="35"/>
      <x:c r="L30" s="35" t="str">
        <x:f>IF(OR(A30="手持ち",A30="購入不要"),"",IF(OR(J30="",K30=""),"",J30*K30))</x:f>
      </x:c>
      <x:c r="M30" s="21" t="str">
        <x:v>購入先・価格は依頼どおり省略。</x:v>
      </x:c>
      <x:c r="N30" s="21" t="str"/>
      <x:c r="O30" s="32" t="str">
        <x:v>2026-08-23</x:v>
      </x:c>
    </x:row>
    <x:row r="31" ht="15" hidden="0" customHeight="1">
      <x:c r="A31" s="28" t="str">
        <x:v>手持ち</x:v>
      </x:c>
      <x:c r="B31" s="24" t="str">
        <x:v>1005M抵抗 19.1kΩ</x:v>
      </x:c>
      <x:c r="C31" s="24" t="str">
        <x:v>チップ抵抗 19.1kΩ 1%</x:v>
      </x:c>
      <x:c r="D31" s="24" t="str">
        <x:v>1005M (0402)</x:v>
      </x:c>
      <x:c r="E31" s="24" t="str">
        <x:v>R30</x:v>
      </x:c>
      <x:c r="F31" s="33" t="n">
        <x:v>1</x:v>
      </x:c>
      <x:c r="G31" s="24" t="str"/>
      <x:c r="H31" s="24" t="str"/>
      <x:c r="I31" s="24" t="str">
        <x:v>手持ち</x:v>
      </x:c>
      <x:c r="J31" s="33"/>
      <x:c r="K31" s="36"/>
      <x:c r="L31" s="36" t="str">
        <x:f>IF(OR(A31="手持ち",A31="購入不要"),"",IF(OR(J31="",K31=""),"",J31*K31))</x:f>
      </x:c>
      <x:c r="M31" s="24" t="str">
        <x:v>購入先・価格は依頼どおり省略。</x:v>
      </x:c>
      <x:c r="N31" s="24" t="str"/>
      <x:c r="O31" s="33" t="str">
        <x:v>2026-08-23</x:v>
      </x:c>
    </x:row>
    <x:row r="32" ht="15" hidden="0" customHeight="1">
      <x:c r="A32" s="28" t="str">
        <x:v>手持ち</x:v>
      </x:c>
      <x:c r="B32" s="21" t="str">
        <x:v>1005M抵抗 4.7kΩ</x:v>
      </x:c>
      <x:c r="C32" s="21" t="str">
        <x:v>チップ抵抗 4.7kΩ</x:v>
      </x:c>
      <x:c r="D32" s="21" t="str">
        <x:v>1005M (0402)</x:v>
      </x:c>
      <x:c r="E32" s="21" t="str">
        <x:v>R33</x:v>
      </x:c>
      <x:c r="F32" s="32" t="n">
        <x:v>1</x:v>
      </x:c>
      <x:c r="G32" s="21" t="str"/>
      <x:c r="H32" s="21" t="str"/>
      <x:c r="I32" s="21" t="str">
        <x:v>手持ち</x:v>
      </x:c>
      <x:c r="J32" s="32"/>
      <x:c r="K32" s="35"/>
      <x:c r="L32" s="35" t="str">
        <x:f>IF(OR(A32="手持ち",A32="購入不要"),"",IF(OR(J32="",K32=""),"",J32*K32))</x:f>
      </x:c>
      <x:c r="M32" s="21" t="str">
        <x:v>購入先・価格は依頼どおり省略。</x:v>
      </x:c>
      <x:c r="N32" s="21" t="str"/>
      <x:c r="O32" s="32" t="str">
        <x:v>2026-08-23</x:v>
      </x:c>
    </x:row>
    <x:row r="33" ht="15" hidden="0" customHeight="1">
      <x:c r="A33" s="28" t="str">
        <x:v>手持ち</x:v>
      </x:c>
      <x:c r="B33" s="24" t="str">
        <x:v>1005M抵抗 220kΩ</x:v>
      </x:c>
      <x:c r="C33" s="24" t="str">
        <x:v>チップ抵抗 220kΩ</x:v>
      </x:c>
      <x:c r="D33" s="24" t="str">
        <x:v>1005M (0402)</x:v>
      </x:c>
      <x:c r="E33" s="24" t="str">
        <x:v>R34, R35</x:v>
      </x:c>
      <x:c r="F33" s="33" t="n">
        <x:v>2</x:v>
      </x:c>
      <x:c r="G33" s="24" t="str"/>
      <x:c r="H33" s="24" t="str"/>
      <x:c r="I33" s="24" t="str">
        <x:v>手持ち</x:v>
      </x:c>
      <x:c r="J33" s="33"/>
      <x:c r="K33" s="36"/>
      <x:c r="L33" s="36" t="str">
        <x:f>IF(OR(A33="手持ち",A33="購入不要"),"",IF(OR(J33="",K33=""),"",J33*K33))</x:f>
      </x:c>
      <x:c r="M33" s="24" t="str">
        <x:v>購入先・価格は依頼どおり省略。</x:v>
      </x:c>
      <x:c r="N33" s="24" t="str"/>
      <x:c r="O33" s="33" t="str">
        <x:v>2026-08-23</x:v>
      </x:c>
    </x:row>
    <x:row r="34" ht="15" hidden="0" customHeight="1">
      <x:c r="A34" s="23" t="str">
        <x:v>購入</x:v>
      </x:c>
      <x:c r="B34" s="21" t="str">
        <x:v>SMT-0540-S-R</x:v>
      </x:c>
      <x:c r="C34" s="21" t="str">
        <x:v>外部駆動SMD磁気トランスデューサ 3V/4kHz</x:v>
      </x:c>
      <x:c r="D34" s="21" t="str">
        <x:v>SMD 5.0×5.0mm</x:v>
      </x:c>
      <x:c r="E34" s="21" t="str">
        <x:v>SPK1</x:v>
      </x:c>
      <x:c r="F34" s="32" t="n">
        <x:v>1</x:v>
      </x:c>
      <x:c r="G34" s="21" t="str">
        <x:v>RSオンライン</x:v>
      </x:c>
      <x:c r="H34" s="21" t="str">
        <x:v>276-779</x:v>
      </x:c>
      <x:c r="I34" s="21" t="str">
        <x:v>1個</x:v>
      </x:c>
      <x:c r="J34" s="32" t="n">
        <x:v>1</x:v>
      </x:c>
      <x:c r="K34" s="35" t="n">
        <x:v>479.6</x:v>
      </x:c>
      <x:c r="L34" s="35" t="n">
        <x:f>IF(OR(A34="手持ち",A34="購入不要"),"",IF(OR(J34="",K34=""),"",J34*K34))</x:f>
        <x:v>479.6</x:v>
      </x:c>
      <x:c r="M34" s="21" t="str">
        <x:v>DigiKey在庫切れのためRS。</x:v>
      </x:c>
      <x:c r="N34" s="21" t="str">
        <x:v>https://jp.rs-online.com/web/p/piezo-buzzers/0276779</x:v>
      </x:c>
      <x:c r="O34" s="32" t="str">
        <x:v>2026-08-23</x:v>
      </x:c>
    </x:row>
    <x:row r="35" ht="15" hidden="0" customHeight="1">
      <x:c r="A35" s="26" t="str">
        <x:v>購入不要</x:v>
      </x:c>
      <x:c r="B35" s="24" t="str">
        <x:v>基板パターン（TPB1,27）</x:v>
      </x:c>
      <x:c r="C35" s="24" t="str">
        <x:v>測定用テストパッド</x:v>
      </x:c>
      <x:c r="D35" s="24" t="str">
        <x:v>基板パターン</x:v>
      </x:c>
      <x:c r="E35" s="24" t="str">
        <x:v>TP1〜TP4</x:v>
      </x:c>
      <x:c r="F35" s="33" t="n">
        <x:v>4</x:v>
      </x:c>
      <x:c r="G35" s="24" t="str"/>
      <x:c r="H35" s="24" t="str"/>
      <x:c r="I35" s="24" t="str"/>
      <x:c r="J35" s="33"/>
      <x:c r="K35" s="36"/>
      <x:c r="L35" s="36" t="str">
        <x:f>IF(OR(A35="手持ち",A35="購入不要"),"",IF(OR(J35="",K35=""),"",J35*K35))</x:f>
      </x:c>
      <x:c r="M35" s="24" t="str">
        <x:v>実装部品ではなく基板上のテストパッド。</x:v>
      </x:c>
      <x:c r="N35" s="24" t="str"/>
      <x:c r="O35" s="33" t="str">
        <x:v>2026-08-23</x:v>
      </x:c>
    </x:row>
    <x:row r="36" ht="21.600000381469727" hidden="0" customHeight="1">
      <x:c r="A36" s="30" t="str">
        <x:v>要確認</x:v>
      </x:c>
      <x:c r="B36" s="31" t="str">
        <x:v>AP2210N-3.3TRE1（G1代替）</x:v>
      </x:c>
      <x:c r="C36" s="31" t="str">
        <x:v>LDO 3.3V/300mA</x:v>
      </x:c>
      <x:c r="D36" s="31" t="str">
        <x:v>SOT-23-3</x:v>
      </x:c>
      <x:c r="E36" s="31" t="str">
        <x:v>U1</x:v>
      </x:c>
      <x:c r="F36" s="34" t="n">
        <x:v>1</x:v>
      </x:c>
      <x:c r="G36" s="31" t="str">
        <x:v>DigiKey</x:v>
      </x:c>
      <x:c r="H36" s="31" t="str">
        <x:v>AP2210N-3.3TRE1DICT-ND</x:v>
      </x:c>
      <x:c r="I36" s="31" t="str">
        <x:v>1個（カットテープ）</x:v>
      </x:c>
      <x:c r="J36" s="34" t="n">
        <x:v>1</x:v>
      </x:c>
      <x:c r="K36" s="37" t="n">
        <x:v>115.5</x:v>
      </x:c>
      <x:c r="L36" s="37" t="n">
        <x:f>IF(OR(A36="手持ち",A36="購入不要"),"",IF(OR(J36="",K36=""),"",J36*K36))</x:f>
        <x:v>115.5</x:v>
      </x:c>
      <x:c r="M36" s="31" t="str">
        <x:v>CADのG1は在庫0。メーカーがパラメータ等価とするE1を選定。発注前にピン配置を最終確認。税込換算。</x:v>
      </x:c>
      <x:c r="N36" s="31" t="str">
        <x:v>https://www.digikey.jp/ja/products/detail/diodes-incorporated/AP2210N-3-3TRG1/4470822</x:v>
      </x:c>
      <x:c r="O36" s="34" t="str">
        <x:v>2026-08-23</x:v>
      </x:c>
    </x:row>
    <x:row r="37" ht="21.600000381469727" hidden="0" customHeight="1">
      <x:c r="A37" s="23" t="str">
        <x:v>購入</x:v>
      </x:c>
      <x:c r="B37" s="24" t="str">
        <x:v>MP6551GQB-P</x:v>
      </x:c>
      <x:c r="C37" s="24" t="str">
        <x:v>ブラシ付きDCモータ用 Hブリッジ 14V/5A</x:v>
      </x:c>
      <x:c r="D37" s="24" t="str">
        <x:v>QFN-14 2.5×3.0mm</x:v>
      </x:c>
      <x:c r="E37" s="24" t="str">
        <x:v>U2, U3</x:v>
      </x:c>
      <x:c r="F37" s="33" t="n">
        <x:v>2</x:v>
      </x:c>
      <x:c r="G37" s="24" t="str">
        <x:v>DigiKey</x:v>
      </x:c>
      <x:c r="H37" s="24" t="str">
        <x:v>1589-MP6551GQB-PCT-ND</x:v>
      </x:c>
      <x:c r="I37" s="24" t="str">
        <x:v>1個（カットテープ）</x:v>
      </x:c>
      <x:c r="J37" s="33" t="n">
        <x:v>2</x:v>
      </x:c>
      <x:c r="K37" s="36" t="n">
        <x:v>365.2</x:v>
      </x:c>
      <x:c r="L37" s="36" t="n">
        <x:f>IF(OR(A37="手持ち",A37="購入不要"),"",IF(OR(J37="",K37=""),"",J37*K37))</x:f>
        <x:v>730.4</x:v>
      </x:c>
      <x:c r="M37" s="24" t="str">
        <x:v>税込換算。</x:v>
      </x:c>
      <x:c r="N37" s="24" t="str">
        <x:v>https://www.digikey.jp/ja/products/detail/monolithic-power-systems-inc/MP6551GQB-P/15991045</x:v>
      </x:c>
      <x:c r="O37" s="33" t="str">
        <x:v>2026-08-23</x:v>
      </x:c>
    </x:row>
    <x:row r="38" ht="15" hidden="0" customHeight="1">
      <x:c r="A38" s="30" t="str">
        <x:v>要確認</x:v>
      </x:c>
      <x:c r="B38" s="31" t="str">
        <x:v>ISM330DHCXTR</x:v>
      </x:c>
      <x:c r="C38" s="31" t="str">
        <x:v>6軸IMU（3軸ジャイロ＋3軸加速度）</x:v>
      </x:c>
      <x:c r="D38" s="31" t="str">
        <x:v>LGA-14 2.5×3.0mm</x:v>
      </x:c>
      <x:c r="E38" s="31" t="str">
        <x:v>U4</x:v>
      </x:c>
      <x:c r="F38" s="34" t="n">
        <x:v>1</x:v>
      </x:c>
      <x:c r="G38" s="31" t="str">
        <x:v>共立エレショップ</x:v>
      </x:c>
      <x:c r="H38" s="31" t="str">
        <x:v>3262493</x:v>
      </x:c>
      <x:c r="I38" s="31" t="str">
        <x:v>1個（Farnell取寄）</x:v>
      </x:c>
      <x:c r="J38" s="34" t="n">
        <x:v>1</x:v>
      </x:c>
      <x:c r="K38" s="37" t="n">
        <x:v>1702</x:v>
      </x:c>
      <x:c r="L38" s="37" t="n">
        <x:f>IF(OR(A38="手持ち",A38="購入不要"),"",IF(OR(J38="",K38=""),"",J38*K38))</x:f>
        <x:v>1702</x:v>
      </x:c>
      <x:c r="M38" s="31" t="str">
        <x:v>ショップ欠品表示。Farnell在庫・納期を注文時に確認。</x:v>
      </x:c>
      <x:c r="N38" s="31" t="str">
        <x:v>https://eleshop.jp/shop/g/g3262493/</x:v>
      </x:c>
      <x:c r="O38" s="34" t="str">
        <x:v>2026-08-23</x:v>
      </x:c>
    </x:row>
    <x:row r="39" ht="21.600000381469727" hidden="0" customHeight="1">
      <x:c r="A39" s="23" t="str">
        <x:v>購入</x:v>
      </x:c>
      <x:c r="B39" s="24" t="str">
        <x:v>STM32F413CHU6</x:v>
      </x:c>
      <x:c r="C39" s="24" t="str">
        <x:v>32bit MCU Cortex-M4 100MHz Flash 1.5MB</x:v>
      </x:c>
      <x:c r="D39" s="24" t="str">
        <x:v>UFQFPN-48 7×7mm</x:v>
      </x:c>
      <x:c r="E39" s="24" t="str">
        <x:v>U5</x:v>
      </x:c>
      <x:c r="F39" s="33" t="n">
        <x:v>1</x:v>
      </x:c>
      <x:c r="G39" s="24" t="str">
        <x:v>DigiKey</x:v>
      </x:c>
      <x:c r="H39" s="24" t="str">
        <x:v>497-17018-ND</x:v>
      </x:c>
      <x:c r="I39" s="24" t="str">
        <x:v>1個（トレイ）</x:v>
      </x:c>
      <x:c r="J39" s="33" t="n">
        <x:v>1</x:v>
      </x:c>
      <x:c r="K39" s="36" t="n">
        <x:v>2014.1</x:v>
      </x:c>
      <x:c r="L39" s="36" t="n">
        <x:f>IF(OR(A39="手持ち",A39="購入不要"),"",IF(OR(J39="",K39=""),"",J39*K39))</x:f>
        <x:v>2014.1</x:v>
      </x:c>
      <x:c r="M39" s="24" t="str">
        <x:v>CADの末尾TRは梱包指定。少量購入用のトレイ品を選定。税込換算。</x:v>
      </x:c>
      <x:c r="N39" s="24" t="str">
        <x:v>https://www.digikey.jp/ja/products/detail/stmicroelectronics/STM32F413CHU6/6564710</x:v>
      </x:c>
      <x:c r="O39" s="33" t="str">
        <x:v>2026-08-23</x:v>
      </x:c>
    </x:row>
    <x:row r="40" ht="21.600000381469727" hidden="0" customHeight="1">
      <x:c r="A40" s="30" t="str">
        <x:v>要確認</x:v>
      </x:c>
      <x:c r="B40" s="31" t="str">
        <x:v>CY15B108QI-20LPXC</x:v>
      </x:c>
      <x:c r="C40" s="31" t="str">
        <x:v>SPI F-RAM 8Mbit 20MHz 1.8〜3.6V</x:v>
      </x:c>
      <x:c r="D40" s="31" t="str">
        <x:v>GQFN-8 3.23×3.28mm</x:v>
      </x:c>
      <x:c r="E40" s="31" t="str">
        <x:v>U6</x:v>
      </x:c>
      <x:c r="F40" s="34" t="n">
        <x:v>1</x:v>
      </x:c>
      <x:c r="G40" s="31" t="str">
        <x:v>Mouser</x:v>
      </x:c>
      <x:c r="H40" s="31" t="str">
        <x:v>727-CY15B108QI20LPXC</x:v>
      </x:c>
      <x:c r="I40" s="31" t="str">
        <x:v>1個（トレイ）</x:v>
      </x:c>
      <x:c r="J40" s="34" t="n">
        <x:v>1</x:v>
      </x:c>
      <x:c r="K40" s="37" t="n">
        <x:v>4526.5</x:v>
      </x:c>
      <x:c r="L40" s="37" t="n">
        <x:f>IF(OR(A40="手持ち",A40="購入不要"),"",IF(OR(J40="",K40=""),"",J40*K40))</x:f>
        <x:v>4526.5</x:v>
      </x:c>
      <x:c r="M40" s="31" t="str">
        <x:v>EOL品。現行ランド互換の代替候補がないため、在庫確保を優先。表示価格。</x:v>
      </x:c>
      <x:c r="N40" s="31" t="str">
        <x:v>https://www.mouser.jp/ProductDetail/Infineon-Technologies/CY15B108QI-20LPXC</x:v>
      </x:c>
      <x:c r="O40" s="34" t="str">
        <x:v>2026-08-23</x:v>
      </x:c>
    </x:row>
    <x:row r="41" ht="15" hidden="0" customHeight="1">
      <x:c r="A41" s="23" t="str">
        <x:v>購入</x:v>
      </x:c>
      <x:c r="B41" s="24" t="str">
        <x:v>MPM3610GQV-P</x:v>
      </x:c>
      <x:c r="C41" s="24" t="str">
        <x:v>同期整流降圧DC/DCモジュール 21V/1.2A</x:v>
      </x:c>
      <x:c r="D41" s="24" t="str">
        <x:v>QFN-20 3×5mm</x:v>
      </x:c>
      <x:c r="E41" s="24" t="str">
        <x:v>U7</x:v>
      </x:c>
      <x:c r="F41" s="33" t="n">
        <x:v>1</x:v>
      </x:c>
      <x:c r="G41" s="24" t="str">
        <x:v>共立エレショップ</x:v>
      </x:c>
      <x:c r="H41" s="24" t="str">
        <x:v>3358179</x:v>
      </x:c>
      <x:c r="I41" s="24" t="str">
        <x:v>1個</x:v>
      </x:c>
      <x:c r="J41" s="33" t="n">
        <x:v>1</x:v>
      </x:c>
      <x:c r="K41" s="36" t="n">
        <x:v>725</x:v>
      </x:c>
      <x:c r="L41" s="36" t="n">
        <x:f>IF(OR(A41="手持ち",A41="購入不要"),"",IF(OR(J41="",K41=""),"",J41*K41))</x:f>
        <x:v>725</x:v>
      </x:c>
      <x:c r="M41" s="24" t="str">
        <x:v>DigiKey在庫切れのため国内取扱店。</x:v>
      </x:c>
      <x:c r="N41" s="24" t="str">
        <x:v>https://eleshop.jp/shop/g/g3358179/</x:v>
      </x:c>
      <x:c r="O41" s="33" t="str">
        <x:v>2026-08-23</x:v>
      </x:c>
    </x:row>
    <x:row r="42" ht="21.600000381469727" hidden="0" customHeight="1">
      <x:c r="A42" s="23" t="str">
        <x:v>購入</x:v>
      </x:c>
      <x:c r="B42" s="21" t="str">
        <x:v>2N7002TQ-7-F</x:v>
      </x:c>
      <x:c r="C42" s="21" t="str">
        <x:v>N-ch MOSFET 60V/115mA</x:v>
      </x:c>
      <x:c r="D42" s="21" t="str">
        <x:v>SOT-523</x:v>
      </x:c>
      <x:c r="E42" s="21" t="str">
        <x:v>UBUZ0, UFL0, UFR0, UL0, UR0</x:v>
      </x:c>
      <x:c r="F42" s="32" t="n">
        <x:v>5</x:v>
      </x:c>
      <x:c r="G42" s="21" t="str">
        <x:v>DigiKey</x:v>
      </x:c>
      <x:c r="H42" s="21" t="str">
        <x:v>2N7002TQ-7-FDICT-ND</x:v>
      </x:c>
      <x:c r="I42" s="21" t="str">
        <x:v>1個（カットテープ）</x:v>
      </x:c>
      <x:c r="J42" s="32" t="n">
        <x:v>5</x:v>
      </x:c>
      <x:c r="K42" s="35" t="n">
        <x:v>77</x:v>
      </x:c>
      <x:c r="L42" s="35" t="n">
        <x:f>IF(OR(A42="手持ち",A42="購入不要"),"",IF(OR(J42="",K42=""),"",J42*K42))</x:f>
        <x:v>385</x:v>
      </x:c>
      <x:c r="M42" s="21" t="str">
        <x:v>税込換算。</x:v>
      </x:c>
      <x:c r="N42" s="21" t="str">
        <x:v>https://www.digikey.jp/ja/products/detail/diodes-incorporated/2N7002TQ-7-F/6186938</x:v>
      </x:c>
      <x:c r="O42" s="32" t="str">
        <x:v>2026-08-23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40" hidden="0" customWidth="1"/>
    <x:col min="4" max="4" width="48" hidden="0" customWidth="1"/>
  </x:cols>
  <x:sheetData>
    <x:row r="1" ht="34" customHeight="1">
      <x:c r="A1" s="3" t="str">
        <x:v>購入先別 集計</x:v>
      </x:c>
      <x:c r="B1" s="3"/>
      <x:c r="C1" s="3"/>
      <x:c r="D1" s="3"/>
    </x:row>
    <x:row r="2">
      <x:c r="A2" s="5" t="str">
        <x:v>送料・DigiKey/Mouserの送料無料条件は含みません。価格は在庫と為替で変動します。</x:v>
      </x:c>
      <x:c r="B2" s="5"/>
      <x:c r="C2" s="5"/>
      <x:c r="D2" s="5"/>
    </x:row>
    <x:row r="4" ht="15" hidden="0" customHeight="1">
      <x:c r="A4" s="40" t="str">
        <x:v>購入先</x:v>
      </x:c>
      <x:c r="B4" s="40" t="str">
        <x:v>対象行数</x:v>
      </x:c>
      <x:c r="C4" s="40" t="str">
        <x:v>小計（税込）</x:v>
      </x:c>
      <x:c r="D4" s="40" t="str">
        <x:v>備考</x:v>
      </x:c>
    </x:row>
    <x:row r="5" ht="15" hidden="0" customHeight="1">
      <x:c r="A5" s="42" t="str">
        <x:v>秋月電子通商</x:v>
      </x:c>
      <x:c r="B5" s="48" t="n">
        <x:f>COUNTIF(BOM!$G$6:$G$42,A5)</x:f>
        <x:v>5</x:v>
      </x:c>
      <x:c r="C5" s="46" t="n">
        <x:f>SUMIF(BOM!$G$6:$G$42,A5,BOM!$L$6:$L$42)</x:f>
        <x:v>410</x:v>
      </x:c>
      <x:c r="D5" s="42" t="str">
        <x:v>優先購入先</x:v>
      </x:c>
    </x:row>
    <x:row r="6" ht="15" hidden="0" customHeight="1">
      <x:c r="A6" s="42" t="str">
        <x:v>DigiKey</x:v>
      </x:c>
      <x:c r="B6" s="48" t="n">
        <x:f>COUNTIF(BOM!$G$6:$G$42,A6)</x:f>
        <x:v>12</x:v>
      </x:c>
      <x:c r="C6" s="46" t="n">
        <x:f>SUMIF(BOM!$G$6:$G$42,A6,BOM!$L$6:$L$42)</x:f>
        <x:v>5166.7</x:v>
      </x:c>
      <x:c r="D6" s="42" t="str">
        <x:v>税抜表示×1.10で税込換算</x:v>
      </x:c>
    </x:row>
    <x:row r="7" ht="15" hidden="0" customHeight="1">
      <x:c r="A7" s="42" t="str">
        <x:v>梅沢無線</x:v>
      </x:c>
      <x:c r="B7" s="48" t="n">
        <x:f>COUNTIF(BOM!$G$6:$G$42,A7)</x:f>
        <x:v>2</x:v>
      </x:c>
      <x:c r="C7" s="46" t="n">
        <x:f>SUMIF(BOM!$G$6:$G$42,A7,BOM!$L$6:$L$42)</x:f>
        <x:v>2325</x:v>
      </x:c>
      <x:c r="D7" s="42" t="str">
        <x:v>赤外センサは5個袋</x:v>
      </x:c>
    </x:row>
    <x:row r="8" ht="15" hidden="0" customHeight="1">
      <x:c r="A8" s="42" t="str">
        <x:v>マルツ</x:v>
      </x:c>
      <x:c r="B8" s="48" t="n">
        <x:f>COUNTIF(BOM!$G$6:$G$42,A8)</x:f>
        <x:v>1</x:v>
      </x:c>
      <x:c r="C8" s="46" t="n">
        <x:f>SUMIF(BOM!$G$6:$G$42,A8,BOM!$L$6:$L$42)</x:f>
        <x:v>49</x:v>
      </x:c>
      <x:c r="D8" s="42" t="str">
        <x:v>Q3は国内在庫限り</x:v>
      </x:c>
    </x:row>
    <x:row r="9" ht="15" hidden="0" customHeight="1">
      <x:c r="A9" s="42" t="str">
        <x:v>共立エレショップ</x:v>
      </x:c>
      <x:c r="B9" s="48" t="n">
        <x:f>COUNTIF(BOM!$G$6:$G$42,A9)</x:f>
        <x:v>2</x:v>
      </x:c>
      <x:c r="C9" s="46" t="n">
        <x:f>SUMIF(BOM!$G$6:$G$42,A9,BOM!$L$6:$L$42)</x:f>
        <x:v>2427</x:v>
      </x:c>
      <x:c r="D9" s="42" t="str">
        <x:v>Farnell取寄品を含む</x:v>
      </x:c>
    </x:row>
    <x:row r="10" ht="15" hidden="0" customHeight="1">
      <x:c r="A10" s="42" t="str">
        <x:v>RSオンライン</x:v>
      </x:c>
      <x:c r="B10" s="48" t="n">
        <x:f>COUNTIF(BOM!$G$6:$G$42,A10)</x:f>
        <x:v>1</x:v>
      </x:c>
      <x:c r="C10" s="46" t="n">
        <x:f>SUMIF(BOM!$G$6:$G$42,A10,BOM!$L$6:$L$42)</x:f>
        <x:v>479.6</x:v>
      </x:c>
      <x:c r="D10" s="42" t="str">
        <x:v>ブザー</x:v>
      </x:c>
    </x:row>
    <x:row r="11" ht="15" hidden="0" customHeight="1">
      <x:c r="A11" s="42" t="str">
        <x:v>Mouser</x:v>
      </x:c>
      <x:c r="B11" s="48" t="n">
        <x:f>COUNTIF(BOM!$G$6:$G$42,A11)</x:f>
        <x:v>1</x:v>
      </x:c>
      <x:c r="C11" s="46" t="n">
        <x:f>SUMIF(BOM!$G$6:$G$42,A11,BOM!$L$6:$L$42)</x:f>
        <x:v>4526.5</x:v>
      </x:c>
      <x:c r="D11" s="42" t="str">
        <x:v>EOL F-RAM</x:v>
      </x:c>
    </x:row>
    <x:row r="12" ht="15" hidden="0" customHeight="1">
      <x:c r="A12" s="45" t="str">
        <x:v>合計</x:v>
      </x:c>
      <x:c r="B12" s="49" t="n">
        <x:f>SUM(B5:B11)</x:f>
        <x:v>24</x:v>
      </x:c>
      <x:c r="C12" s="47" t="n">
        <x:f>SUM(C5:C11)</x:f>
        <x:v>15383.800000000001</x:v>
      </x:c>
      <x:c r="D12" s="45" t="str"/>
    </x:row>
    <x:row r="13"/>
    <x:row r="14"/>
    <x:row r="15" ht="15" hidden="0" customHeight="1">
      <x:c r="A15" s="51" t="str">
        <x:v>発注前に確認する項目</x:v>
      </x:c>
      <x:c r="B15" s="51"/>
      <x:c r="C15" s="51"/>
      <x:c r="D15" s="51"/>
    </x:row>
    <x:row r="16" ht="15" hidden="0" customHeight="1">
      <x:c r="A16" s="52" t="str">
        <x:v>対象</x:v>
      </x:c>
      <x:c r="B16" s="52" t="str">
        <x:v>確認内容</x:v>
      </x:c>
      <x:c r="C16" s="52" t="str">
        <x:v>推奨対応</x:v>
      </x:c>
      <x:c r="D16" s="52" t="str">
        <x:v>影響</x:v>
      </x:c>
    </x:row>
    <x:row r="17" ht="15" hidden="0" customHeight="1">
      <x:c r="A17" s="57" t="str">
        <x:v>U1 AP2210</x:v>
      </x:c>
      <x:c r="B17" s="57" t="str">
        <x:v>CADはG1、購入候補はE1</x:v>
      </x:c>
      <x:c r="C17" s="57" t="str">
        <x:v>データシートのピン配置を最終確認してE1を発注</x:v>
      </x:c>
      <x:c r="D17" s="57" t="str">
        <x:v>パラメータ等価。実装ランドは同じSOT-23-3</x:v>
      </x:c>
    </x:row>
    <x:row r="18" ht="15" hidden="0" customHeight="1">
      <x:c r="A18" s="57" t="str">
        <x:v>U4 ISM330DHCX</x:v>
      </x:c>
      <x:c r="B18" s="57" t="str">
        <x:v>ショップ欠品／Farnell取寄</x:v>
      </x:c>
      <x:c r="C18" s="57" t="str">
        <x:v>注文時にFarnell在庫と納期を確認</x:v>
      </x:c>
      <x:c r="D18" s="57" t="str">
        <x:v>入手できない場合は基板完成が止まる</x:v>
      </x:c>
    </x:row>
    <x:row r="19" ht="15" hidden="0" customHeight="1">
      <x:c r="A19" s="57" t="str">
        <x:v>U6 CY15B108QI</x:v>
      </x:c>
      <x:c r="B19" s="57" t="str">
        <x:v>EOL品</x:v>
      </x:c>
      <x:c r="C19" s="57" t="str">
        <x:v>在庫があるうちに予備を含めて確保を検討</x:v>
      </x:c>
      <x:c r="D19" s="57" t="str">
        <x:v>同じGQFNランドの現行8Mbit代替が見当たらない</x:v>
      </x:c>
    </x:row>
    <x:row r="20" ht="15" hidden="0" customHeight="1">
      <x:c r="A20" s="57" t="str">
        <x:v>Q2 PJS6403</x:v>
      </x:c>
      <x:c r="B20" s="57" t="str">
        <x:v>DigiKey国内表示価格が割高</x:v>
      </x:c>
      <x:c r="C20" s="57" t="str">
        <x:v>型番一致を優先し、注文直前に価格再確認</x:v>
      </x:c>
      <x:c r="D20" s="57" t="str">
        <x:v>安価な類似品への置換はピン配置確認が必要</x:v>
      </x:c>
    </x:row>
  </x:sheetData>
  <x:mergeCells>
    <x:mergeCell ref="A1:D1"/>
    <x:mergeCell ref="A2:D2"/>
    <x:mergeCell ref="A15:D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0" hidden="0" customWidth="1"/>
    <x:col min="3" max="3" width="26" hidden="0" customWidth="1"/>
    <x:col min="4" max="4" width="64" hidden="0" customWidth="1"/>
  </x:cols>
  <x:sheetData>
    <x:row r="1">
      <x:c r="A1" s="3" t="str">
        <x:v>出典・判定ルール</x:v>
      </x:c>
      <x:c r="B1" s="3"/>
      <x:c r="C1" s="3"/>
      <x:c r="D1" s="3"/>
    </x:row>
    <x:row r="3" ht="15" hidden="0" customHeight="1">
      <x:c r="A3" s="52" t="str">
        <x:v>項目</x:v>
      </x:c>
      <x:c r="B3" s="52" t="str">
        <x:v>内容</x:v>
      </x:c>
      <x:c r="C3" s="52" t="str">
        <x:v>対象</x:v>
      </x:c>
      <x:c r="D3" s="52" t="str">
        <x:v>参照先</x:v>
      </x:c>
    </x:row>
    <x:row r="4" ht="24" hidden="0" customHeight="1">
      <x:c r="A4" s="60" t="str">
        <x:v>対象基板</x:v>
      </x:c>
      <x:c r="B4" s="60" t="str">
        <x:v>発注済みのメイン基板 HM_Nightfall-mini-3a_v0。機械部品用のSuction-Fan Mount基板は対象外。</x:v>
      </x:c>
      <x:c r="C4" s="60" t="str">
        <x:v>全体</x:v>
      </x:c>
      <x:c r="D4" s="60" t="str">
        <x:v>/Users/xfa273/workspace/micromouse/nightfall-fw/hardware/mini_r3_0/cad/kicad/HM_Nightfall-mini-3a/HM_Nightfall-mini-3a_v0.kicad_pcb</x:v>
      </x:c>
    </x:row>
    <x:row r="5" ht="15" hidden="0" customHeight="1">
      <x:c r="A5" s="59" t="str">
        <x:v>抽出方法</x:v>
      </x:c>
      <x:c r="B5" s="59" t="str">
        <x:v>KiCad CLIのBOM出力を参照し、同一型番・同一仕様はCAD部品番号をまとめた。</x:v>
      </x:c>
      <x:c r="C5" s="59" t="str">
        <x:v>全体</x:v>
      </x:c>
      <x:c r="D5" s="59" t="str">
        <x:v>/tmp/HM_Nightfall-mini-3a_v0_bom.csv</x:v>
      </x:c>
    </x:row>
    <x:row r="6" ht="15" hidden="0" customHeight="1">
      <x:c r="A6" s="60" t="str">
        <x:v>抵抗</x:v>
      </x:c>
      <x:c r="B6" s="60" t="str">
        <x:v>1005M抵抗は全て手持ちとして購入先・価格を空欄にした。</x:v>
      </x:c>
      <x:c r="C6" s="60" t="str">
        <x:v>R0〜R35</x:v>
      </x:c>
      <x:c r="D6" s="60" t="str">
        <x:v>ユーザー指定</x:v>
      </x:c>
    </x:row>
    <x:row r="7" ht="15" hidden="0" customHeight="1">
      <x:c r="A7" s="59" t="str">
        <x:v>表示LED</x:v>
      </x:c>
      <x:c r="B7" s="59" t="str">
        <x:v>1608MチップLEDは手持ちとして購入先・価格を空欄にした。</x:v>
      </x:c>
      <x:c r="C7" s="59" t="str">
        <x:v>LED1〜LED3, P-LED0</x:v>
      </x:c>
      <x:c r="D7" s="59" t="str">
        <x:v>ユーザー指定</x:v>
      </x:c>
    </x:row>
    <x:row r="8" ht="24" hidden="0" customHeight="1">
      <x:c r="A8" s="60" t="str">
        <x:v>赤外センサ</x:v>
      </x:c>
      <x:c r="B8" s="60" t="str">
        <x:v>CADのLED3MMは汎用名のため、既存Nightfall部品資料から送光CL-1KL7／受光ST-1KL3Aに具体化した。</x:v>
      </x:c>
      <x:c r="C8" s="60" t="str">
        <x:v>IR_LED_*, PT_*</x:v>
      </x:c>
      <x:c r="D8" s="60" t="str">
        <x:v>docs/blog/posts/2024-05-04_nightfall-parts/README.md</x:v>
      </x:c>
    </x:row>
    <x:row r="9" ht="15" hidden="0" customHeight="1">
      <x:c r="A9" s="59" t="str">
        <x:v>基板パターン</x:v>
      </x:c>
      <x:c r="B9" s="59" t="str">
        <x:v>EC_*、J2、TP*は購入部品ではないため購入不要とした。</x:v>
      </x:c>
      <x:c r="C9" s="59" t="str">
        <x:v>EC_*, J2, TP*</x:v>
      </x:c>
      <x:c r="D9" s="59" t="str">
        <x:v>KiCadフットプリント名と基板形状</x:v>
      </x:c>
    </x:row>
    <x:row r="10" ht="24" hidden="0" customHeight="1">
      <x:c r="A10" s="60" t="str">
        <x:v>価格</x:v>
      </x:c>
      <x:c r="B10" s="60" t="str">
        <x:v>秋月・国内店は税込表示。DigiKeyは税抜表示に10%を加算。Mouserはサイト表示価格。送料は除外。</x:v>
      </x:c>
      <x:c r="C10" s="60" t="str">
        <x:v>購入対象</x:v>
      </x:c>
      <x:c r="D10" s="60" t="str">
        <x:v>各商品URL</x:v>
      </x:c>
    </x:row>
    <x:row r="11" ht="15" hidden="0" customHeight="1">
      <x:c r="A11" s="59" t="str">
        <x:v>価格変動</x:v>
      </x:c>
      <x:c r="B11" s="59" t="str">
        <x:v>価格・在庫は確認日時点。特にEOL、取寄、在庫限り品は注文直前に再確認する。</x:v>
      </x:c>
      <x:c r="C11" s="59" t="str">
        <x:v>U4, U6, Q3ほか</x:v>
      </x:c>
      <x:c r="D11" s="59" t="str">
        <x:v>2026-08-23</x:v>
      </x:c>
    </x:row>
    <x:row r="12" ht="15" hidden="0" customHeight="1">
      <x:c r="A12" s="60" t="str">
        <x:v>BAS16</x:v>
      </x:c>
      <x:c r="B12" s="60" t="str">
        <x:v>CAD値BAS16WT1GWは正式MPN BAS16WT1Gの表記揺れと判断。</x:v>
      </x:c>
      <x:c r="C12" s="60" t="str">
        <x:v>D3, D4</x:v>
      </x:c>
      <x:c r="D12" s="60" t="str">
        <x:v>onsemi / DigiKey商品ページ</x:v>
      </x:c>
    </x:row>
    <x:row r="13" ht="24" hidden="0" customHeight="1">
      <x:c r="A13" s="59" t="str">
        <x:v>U1代替</x:v>
      </x:c>
      <x:c r="B13" s="59" t="str">
        <x:v>AP2210N-3.3TRG1は在庫0。DigiKeyがパラメータ等価として示すAP2210N-3.3TRE1を候補にした。</x:v>
      </x:c>
      <x:c r="C13" s="59" t="str">
        <x:v>U1</x:v>
      </x:c>
      <x:c r="D13" s="59" t="str">
        <x:v>https://www.digikey.jp/ja/products/detail/diodes-incorporated/AP2210N-3-3TRG1/4470822</x:v>
      </x:c>
    </x:row>
    <x:row r="14" ht="24" hidden="0" customHeight="1">
      <x:c r="A14" s="60" t="str">
        <x:v>U5梱包</x:v>
      </x:c>
      <x:c r="B14" s="60" t="str">
        <x:v>CAD末尾TRはリール梱包。少量購入では同一デバイスのトレイ品STM32F413CHU6を選定。</x:v>
      </x:c>
      <x:c r="C14" s="60" t="str">
        <x:v>U5</x:v>
      </x:c>
      <x:c r="D14" s="60" t="str">
        <x:v>https://www.digikey.jp/ja/products/detail/stmicroelectronics/STM32F413CHU6/6564710</x:v>
      </x:c>
    </x:row>
    <x:row r="15" ht="24" hidden="0" customHeight="1">
      <x:c r="A15" s="59" t="str">
        <x:v>U6ライフサイクル</x:v>
      </x:c>
      <x:c r="B15" s="59" t="str">
        <x:v>CY15B108QI-20LPXCはEOL。GQFN-8のランドを変えずに置換できる現行8Mbit品は見つからなかった。</x:v>
      </x:c>
      <x:c r="C15" s="59" t="str">
        <x:v>U6</x:v>
      </x:c>
      <x:c r="D15" s="59" t="str">
        <x:v>https://www.mouser.jp/ProductDetail/Infineon-Technologies/CY15B108QI-20LPXC</x:v>
      </x:c>
    </x:row>
  </x:sheetData>
  <x:mergeCells>
    <x:mergeCell ref="A1:D1"/>
  </x:mergeCells>
  <x:pageMargins left="0.7" right="0.7" top="0.75" bottom="0.75" header="0.3" footer="0.3"/>
</x:worksheet>
</file>